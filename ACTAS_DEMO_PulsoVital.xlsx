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A 001-2026" sheetId="1" state="visible" r:id="rId1"/>
    <sheet xmlns:r="http://schemas.openxmlformats.org/officeDocument/2006/relationships" name="ACTA 002-2026" sheetId="2" state="visible" r:id="rId2"/>
    <sheet xmlns:r="http://schemas.openxmlformats.org/officeDocument/2006/relationships" name="ACTA 003-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B91C1C"/>
      <sz val="10"/>
    </font>
    <font>
      <name val="Arial"/>
      <b val="1"/>
      <color rgb="00B91C1C"/>
      <sz val="10"/>
    </font>
    <font>
      <name val="Arial"/>
      <color rgb="00C2410C"/>
      <sz val="10"/>
    </font>
    <font>
      <name val="Arial"/>
      <b val="1"/>
      <color rgb="00C2410C"/>
      <sz val="10"/>
    </font>
    <font>
      <name val="Arial"/>
      <color rgb="00A16207"/>
      <sz val="10"/>
    </font>
    <font>
      <name val="Arial"/>
      <b val="1"/>
      <color rgb="00A16207"/>
      <sz val="10"/>
    </font>
    <font>
      <name val="Arial"/>
      <color rgb="000F766E"/>
      <sz val="10"/>
    </font>
    <font>
      <name val="Arial"/>
      <b val="1"/>
      <color rgb="000F766E"/>
      <sz val="10"/>
    </font>
    <font>
      <name val="Arial"/>
      <color rgb="00111111"/>
      <sz val="10"/>
    </font>
    <font>
      <name val="Arial"/>
      <b val="1"/>
      <color rgb="00111111"/>
      <sz val="10"/>
    </font>
  </fonts>
  <fills count="1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CCFBF1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22" customWidth="1" min="5" max="5"/>
    <col width="14" customWidth="1" min="6" max="6"/>
    <col width="17" customWidth="1" min="7" max="7"/>
    <col width="11" customWidth="1" min="8" max="8"/>
    <col width="13" customWidth="1" min="9" max="9"/>
    <col width="18" customWidth="1" min="10" max="10"/>
  </cols>
  <sheetData>
    <row r="1" ht="30" customHeight="1">
      <c r="A1" s="1" t="inlineStr">
        <is>
          <t>FARMACIA PULSO VITAL — NIT 1.060.594.021-2</t>
        </is>
      </c>
    </row>
    <row r="2" ht="22" customHeight="1">
      <c r="A2" s="2" t="inlineStr">
        <is>
          <t>ACTA DE RECEPCIÓN N° 001 — Enero 2026</t>
        </is>
      </c>
    </row>
    <row r="3" ht="6" customHeight="1">
      <c r="A3" s="3" t="inlineStr"/>
    </row>
    <row r="4" ht="28" customHeight="1">
      <c r="A4" s="4" t="inlineStr">
        <is>
          <t>N°</t>
        </is>
      </c>
      <c r="B4" s="4" t="inlineStr">
        <is>
          <t>NOMBRE GENERICO</t>
        </is>
      </c>
      <c r="C4" s="4" t="inlineStr">
        <is>
          <t>NOMBRE COMERCIAL</t>
        </is>
      </c>
      <c r="D4" s="4" t="inlineStr">
        <is>
          <t>FORMA FARMACÉUTICA</t>
        </is>
      </c>
      <c r="E4" s="4" t="inlineStr">
        <is>
          <t>LABORATORIO</t>
        </is>
      </c>
      <c r="F4" s="4" t="inlineStr">
        <is>
          <t>LOTE</t>
        </is>
      </c>
      <c r="G4" s="4" t="inlineStr">
        <is>
          <t>FECHA VENCIMIENTO</t>
        </is>
      </c>
      <c r="H4" s="4" t="inlineStr">
        <is>
          <t>CANTIDAD</t>
        </is>
      </c>
      <c r="I4" s="4" t="inlineStr">
        <is>
          <t>PRECIO UNIT.</t>
        </is>
      </c>
      <c r="J4" s="4" t="inlineStr">
        <is>
          <t>REGISTRO INVIMA</t>
        </is>
      </c>
    </row>
    <row r="5" ht="20" customHeight="1">
      <c r="A5" s="5" t="n">
        <v>1</v>
      </c>
      <c r="B5" s="6" t="inlineStr">
        <is>
          <t>ACETAMINOFÉN 500 MG</t>
        </is>
      </c>
      <c r="C5" s="7" t="inlineStr">
        <is>
          <t>Dolex</t>
        </is>
      </c>
      <c r="D5" s="5" t="inlineStr">
        <is>
          <t>Tableta</t>
        </is>
      </c>
      <c r="E5" s="7" t="inlineStr">
        <is>
          <t>Genfar S.A.</t>
        </is>
      </c>
      <c r="F5" s="5" t="inlineStr">
        <is>
          <t>GF2023A1</t>
        </is>
      </c>
      <c r="G5" s="5" t="inlineStr">
        <is>
          <t>02/06/2026</t>
        </is>
      </c>
      <c r="H5" s="5" t="n">
        <v>200</v>
      </c>
      <c r="I5" s="5" t="n">
        <v>850</v>
      </c>
      <c r="J5" s="5" t="inlineStr">
        <is>
          <t>M-20345-R1</t>
        </is>
      </c>
    </row>
    <row r="6" ht="20" customHeight="1">
      <c r="A6" s="5" t="n">
        <v>2</v>
      </c>
      <c r="B6" s="6" t="inlineStr">
        <is>
          <t>IBUPROFENO 400 MG</t>
        </is>
      </c>
      <c r="C6" s="7" t="inlineStr">
        <is>
          <t>Buscapina</t>
        </is>
      </c>
      <c r="D6" s="5" t="inlineStr">
        <is>
          <t>Tableta</t>
        </is>
      </c>
      <c r="E6" s="7" t="inlineStr">
        <is>
          <t>Tecnoquímicas</t>
        </is>
      </c>
      <c r="F6" s="5" t="inlineStr">
        <is>
          <t>TQ2024B2</t>
        </is>
      </c>
      <c r="G6" s="5" t="inlineStr">
        <is>
          <t>03/11/2026</t>
        </is>
      </c>
      <c r="H6" s="5" t="n">
        <v>150</v>
      </c>
      <c r="I6" s="5" t="n">
        <v>1200</v>
      </c>
      <c r="J6" s="5" t="inlineStr">
        <is>
          <t>M-18762-R2</t>
        </is>
      </c>
    </row>
    <row r="7" ht="20" customHeight="1">
      <c r="A7" s="8" t="n">
        <v>3</v>
      </c>
      <c r="B7" s="9" t="inlineStr">
        <is>
          <t>AMOXICILINA 500 MG</t>
        </is>
      </c>
      <c r="C7" s="10" t="inlineStr">
        <is>
          <t>Amoxil</t>
        </is>
      </c>
      <c r="D7" s="8" t="inlineStr">
        <is>
          <t>Cápsula</t>
        </is>
      </c>
      <c r="E7" s="10" t="inlineStr">
        <is>
          <t>Lafrancol</t>
        </is>
      </c>
      <c r="F7" s="8" t="inlineStr">
        <is>
          <t>LF2025C3</t>
        </is>
      </c>
      <c r="G7" s="8" t="inlineStr">
        <is>
          <t>04/10/2026</t>
        </is>
      </c>
      <c r="H7" s="8" t="n">
        <v>80</v>
      </c>
      <c r="I7" s="8" t="n">
        <v>2400</v>
      </c>
      <c r="J7" s="8" t="inlineStr">
        <is>
          <t>M-22341-R1</t>
        </is>
      </c>
    </row>
    <row r="8" ht="20" customHeight="1">
      <c r="A8" s="8" t="n">
        <v>4</v>
      </c>
      <c r="B8" s="9" t="inlineStr">
        <is>
          <t>METFORMINA 850 MG</t>
        </is>
      </c>
      <c r="C8" s="10" t="inlineStr">
        <is>
          <t>Glucophage</t>
        </is>
      </c>
      <c r="D8" s="8" t="inlineStr">
        <is>
          <t>Tableta</t>
        </is>
      </c>
      <c r="E8" s="10" t="inlineStr">
        <is>
          <t>Abbott</t>
        </is>
      </c>
      <c r="F8" s="8" t="inlineStr">
        <is>
          <t>AB2025D4</t>
        </is>
      </c>
      <c r="G8" s="8" t="inlineStr">
        <is>
          <t>04/17/2026</t>
        </is>
      </c>
      <c r="H8" s="8" t="n">
        <v>120</v>
      </c>
      <c r="I8" s="8" t="n">
        <v>1650</v>
      </c>
      <c r="J8" s="8" t="inlineStr">
        <is>
          <t>M-19874-R3</t>
        </is>
      </c>
    </row>
    <row r="9" ht="20" customHeight="1">
      <c r="A9" s="11" t="n">
        <v>5</v>
      </c>
      <c r="B9" s="12" t="inlineStr">
        <is>
          <t>LOSARTÁN 50 MG</t>
        </is>
      </c>
      <c r="C9" s="13" t="inlineStr">
        <is>
          <t>Cozaar</t>
        </is>
      </c>
      <c r="D9" s="11" t="inlineStr">
        <is>
          <t>Tableta</t>
        </is>
      </c>
      <c r="E9" s="13" t="inlineStr">
        <is>
          <t>Pfizer</t>
        </is>
      </c>
      <c r="F9" s="11" t="inlineStr">
        <is>
          <t>PF2025E5</t>
        </is>
      </c>
      <c r="G9" s="11" t="inlineStr">
        <is>
          <t>05/07/2026</t>
        </is>
      </c>
      <c r="H9" s="11" t="n">
        <v>90</v>
      </c>
      <c r="I9" s="11" t="n">
        <v>3200</v>
      </c>
      <c r="J9" s="11" t="inlineStr">
        <is>
          <t>M-21456-R2</t>
        </is>
      </c>
    </row>
    <row r="10" ht="20" customHeight="1">
      <c r="A10" s="11" t="n">
        <v>6</v>
      </c>
      <c r="B10" s="12" t="inlineStr">
        <is>
          <t>ATORVASTATINA 20 MG</t>
        </is>
      </c>
      <c r="C10" s="13" t="inlineStr">
        <is>
          <t>Lipitor</t>
        </is>
      </c>
      <c r="D10" s="11" t="inlineStr">
        <is>
          <t>Tableta</t>
        </is>
      </c>
      <c r="E10" s="13" t="inlineStr">
        <is>
          <t>Genfar S.A.</t>
        </is>
      </c>
      <c r="F10" s="11" t="inlineStr">
        <is>
          <t>GF2025F6</t>
        </is>
      </c>
      <c r="G10" s="11" t="inlineStr">
        <is>
          <t>05/24/2026</t>
        </is>
      </c>
      <c r="H10" s="11" t="n">
        <v>60</v>
      </c>
      <c r="I10" s="11" t="n">
        <v>4500</v>
      </c>
      <c r="J10" s="11" t="inlineStr">
        <is>
          <t>M-20891-R1</t>
        </is>
      </c>
    </row>
    <row r="11" ht="20" customHeight="1">
      <c r="A11" s="11" t="n">
        <v>7</v>
      </c>
      <c r="B11" s="12" t="inlineStr">
        <is>
          <t>OMEPRAZOL 20 MG</t>
        </is>
      </c>
      <c r="C11" s="13" t="inlineStr">
        <is>
          <t>Prilosec</t>
        </is>
      </c>
      <c r="D11" s="11" t="inlineStr">
        <is>
          <t>Cápsula</t>
        </is>
      </c>
      <c r="E11" s="13" t="inlineStr">
        <is>
          <t>Tecnoquímicas</t>
        </is>
      </c>
      <c r="F11" s="11" t="inlineStr">
        <is>
          <t>TQ2025G7</t>
        </is>
      </c>
      <c r="G11" s="11" t="inlineStr">
        <is>
          <t>06/19/2026</t>
        </is>
      </c>
      <c r="H11" s="11" t="n">
        <v>100</v>
      </c>
      <c r="I11" s="11" t="n">
        <v>1800</v>
      </c>
      <c r="J11" s="11" t="inlineStr">
        <is>
          <t>M-18234-R2</t>
        </is>
      </c>
    </row>
    <row r="12" ht="20" customHeight="1">
      <c r="A12" s="14" t="n">
        <v>8</v>
      </c>
      <c r="B12" s="15" t="inlineStr">
        <is>
          <t>SALBUTAMOL 100MCG INH</t>
        </is>
      </c>
      <c r="C12" s="16" t="inlineStr">
        <is>
          <t>Ventolin</t>
        </is>
      </c>
      <c r="D12" s="14" t="inlineStr">
        <is>
          <t>Inhalador</t>
        </is>
      </c>
      <c r="E12" s="16" t="inlineStr">
        <is>
          <t>GlaxoSmithKline</t>
        </is>
      </c>
      <c r="F12" s="14" t="inlineStr">
        <is>
          <t>GK2025H8</t>
        </is>
      </c>
      <c r="G12" s="14" t="inlineStr">
        <is>
          <t>07/21/2026</t>
        </is>
      </c>
      <c r="H12" s="14" t="n">
        <v>35</v>
      </c>
      <c r="I12" s="14" t="n">
        <v>28000</v>
      </c>
      <c r="J12" s="14" t="inlineStr">
        <is>
          <t>M-25670-R1</t>
        </is>
      </c>
    </row>
    <row r="13" ht="20" customHeight="1">
      <c r="A13" s="17" t="n">
        <v>9</v>
      </c>
      <c r="B13" s="18" t="inlineStr">
        <is>
          <t>CLONAZEPAM 0.5 MG</t>
        </is>
      </c>
      <c r="C13" s="19" t="inlineStr">
        <is>
          <t>Rivotril</t>
        </is>
      </c>
      <c r="D13" s="17" t="inlineStr">
        <is>
          <t>Tableta</t>
        </is>
      </c>
      <c r="E13" s="19" t="inlineStr">
        <is>
          <t>Roche</t>
        </is>
      </c>
      <c r="F13" s="17" t="inlineStr">
        <is>
          <t>RC2026I9</t>
        </is>
      </c>
      <c r="G13" s="17" t="inlineStr">
        <is>
          <t>09/24/2026</t>
        </is>
      </c>
      <c r="H13" s="17" t="n">
        <v>50</v>
      </c>
      <c r="I13" s="17" t="n">
        <v>3800</v>
      </c>
      <c r="J13" s="17" t="inlineStr">
        <is>
          <t>M-16543-R4</t>
        </is>
      </c>
    </row>
    <row r="14" ht="20" customHeight="1">
      <c r="A14" s="17" t="n">
        <v>10</v>
      </c>
      <c r="B14" s="18" t="inlineStr">
        <is>
          <t>DICLOFENACO 75MG/3ML</t>
        </is>
      </c>
      <c r="C14" s="19" t="inlineStr">
        <is>
          <t>Voltaren</t>
        </is>
      </c>
      <c r="D14" s="17" t="inlineStr">
        <is>
          <t>Inyectable</t>
        </is>
      </c>
      <c r="E14" s="19" t="inlineStr">
        <is>
          <t>Lafrancol</t>
        </is>
      </c>
      <c r="F14" s="17" t="inlineStr">
        <is>
          <t>LF2026J0</t>
        </is>
      </c>
      <c r="G14" s="17" t="inlineStr">
        <is>
          <t>11/18/2026</t>
        </is>
      </c>
      <c r="H14" s="17" t="n">
        <v>40</v>
      </c>
      <c r="I14" s="17" t="n">
        <v>5600</v>
      </c>
      <c r="J14" s="17" t="inlineStr">
        <is>
          <t>M-22109-R2</t>
        </is>
      </c>
    </row>
    <row r="15" ht="20" customHeight="1">
      <c r="A15" s="17" t="n">
        <v>11</v>
      </c>
      <c r="B15" s="18" t="inlineStr">
        <is>
          <t>CAPTOPRIL 25 MG</t>
        </is>
      </c>
      <c r="C15" s="19" t="inlineStr">
        <is>
          <t>Capoten</t>
        </is>
      </c>
      <c r="D15" s="17" t="inlineStr">
        <is>
          <t>Tableta</t>
        </is>
      </c>
      <c r="E15" s="19" t="inlineStr">
        <is>
          <t>Novartis</t>
        </is>
      </c>
      <c r="F15" s="17" t="inlineStr">
        <is>
          <t>NV2026K1</t>
        </is>
      </c>
      <c r="G15" s="17" t="inlineStr">
        <is>
          <t>01/27/2027</t>
        </is>
      </c>
      <c r="H15" s="17" t="n">
        <v>70</v>
      </c>
      <c r="I15" s="17" t="n">
        <v>2100</v>
      </c>
      <c r="J15" s="17" t="inlineStr">
        <is>
          <t>M-17823-R1</t>
        </is>
      </c>
    </row>
    <row r="16" ht="20" customHeight="1">
      <c r="A16" s="17" t="n">
        <v>12</v>
      </c>
      <c r="B16" s="18" t="inlineStr">
        <is>
          <t>HIDROCLOROTIAZIDA 25 MG</t>
        </is>
      </c>
      <c r="C16" s="19" t="inlineStr">
        <is>
          <t>HidroD</t>
        </is>
      </c>
      <c r="D16" s="17" t="inlineStr">
        <is>
          <t>Tableta</t>
        </is>
      </c>
      <c r="E16" s="19" t="inlineStr">
        <is>
          <t>Abbott</t>
        </is>
      </c>
      <c r="F16" s="17" t="inlineStr">
        <is>
          <t>AB2027L2</t>
        </is>
      </c>
      <c r="G16" s="17" t="inlineStr">
        <is>
          <t>05/17/2027</t>
        </is>
      </c>
      <c r="H16" s="17" t="n">
        <v>85</v>
      </c>
      <c r="I16" s="17" t="n">
        <v>980</v>
      </c>
      <c r="J16" s="17" t="inlineStr">
        <is>
          <t>M-19456-R3</t>
        </is>
      </c>
    </row>
    <row r="17" ht="20" customHeight="1">
      <c r="A17" s="17" t="n">
        <v>13</v>
      </c>
      <c r="B17" s="18" t="inlineStr">
        <is>
          <t>AZITROMICINA 500 MG</t>
        </is>
      </c>
      <c r="C17" s="19" t="inlineStr">
        <is>
          <t>Zithromax</t>
        </is>
      </c>
      <c r="D17" s="17" t="inlineStr">
        <is>
          <t>Tableta</t>
        </is>
      </c>
      <c r="E17" s="19" t="inlineStr">
        <is>
          <t>Pfizer</t>
        </is>
      </c>
      <c r="F17" s="17" t="inlineStr">
        <is>
          <t>PF2027M3</t>
        </is>
      </c>
      <c r="G17" s="17" t="inlineStr">
        <is>
          <t>08/25/2027</t>
        </is>
      </c>
      <c r="H17" s="17" t="n">
        <v>60</v>
      </c>
      <c r="I17" s="17" t="n">
        <v>4200</v>
      </c>
      <c r="J17" s="17" t="inlineStr">
        <is>
          <t>M-21789-R2</t>
        </is>
      </c>
    </row>
    <row r="18" ht="20" customHeight="1">
      <c r="A18" s="17" t="n">
        <v>14</v>
      </c>
      <c r="B18" s="18" t="inlineStr">
        <is>
          <t>AMLODIPINO 5 MG</t>
        </is>
      </c>
      <c r="C18" s="19" t="inlineStr">
        <is>
          <t>Norvasc</t>
        </is>
      </c>
      <c r="D18" s="17" t="inlineStr">
        <is>
          <t>Tableta</t>
        </is>
      </c>
      <c r="E18" s="19" t="inlineStr">
        <is>
          <t>Genfar S.A.</t>
        </is>
      </c>
      <c r="F18" s="17" t="inlineStr">
        <is>
          <t>GF2027N4</t>
        </is>
      </c>
      <c r="G18" s="17" t="inlineStr">
        <is>
          <t>11/23/2027</t>
        </is>
      </c>
      <c r="H18" s="17" t="n">
        <v>95</v>
      </c>
      <c r="I18" s="17" t="n">
        <v>1450</v>
      </c>
      <c r="J18" s="17" t="inlineStr">
        <is>
          <t>M-20234-R1</t>
        </is>
      </c>
    </row>
    <row r="19" ht="20" customHeight="1">
      <c r="A19" s="17" t="n">
        <v>15</v>
      </c>
      <c r="B19" s="18" t="inlineStr">
        <is>
          <t>FUROSEMIDA 40 MG</t>
        </is>
      </c>
      <c r="C19" s="19" t="inlineStr">
        <is>
          <t>Lasix</t>
        </is>
      </c>
      <c r="D19" s="17" t="inlineStr">
        <is>
          <t>Tableta</t>
        </is>
      </c>
      <c r="E19" s="19" t="inlineStr">
        <is>
          <t>Tecnoquímicas</t>
        </is>
      </c>
      <c r="F19" s="17" t="inlineStr">
        <is>
          <t>TQ2028O5</t>
        </is>
      </c>
      <c r="G19" s="17" t="inlineStr">
        <is>
          <t>03/22/2028</t>
        </is>
      </c>
      <c r="H19" s="17" t="n">
        <v>110</v>
      </c>
      <c r="I19" s="17" t="n">
        <v>890</v>
      </c>
      <c r="J19" s="17" t="inlineStr">
        <is>
          <t>M-18567-R2</t>
        </is>
      </c>
    </row>
    <row r="20">
      <c r="A20" s="20" t="inlineStr">
        <is>
          <t>TOTAL — 15 ítems en acta</t>
        </is>
      </c>
      <c r="H20" s="2">
        <f>SUM(H5:H19)</f>
        <v/>
      </c>
      <c r="I20" s="2">
        <f>SUM(I5:I19)</f>
        <v/>
      </c>
    </row>
  </sheetData>
  <mergeCells count="4">
    <mergeCell ref="A20:F20"/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22" customWidth="1" min="5" max="5"/>
    <col width="14" customWidth="1" min="6" max="6"/>
    <col width="17" customWidth="1" min="7" max="7"/>
    <col width="11" customWidth="1" min="8" max="8"/>
    <col width="13" customWidth="1" min="9" max="9"/>
    <col width="18" customWidth="1" min="10" max="10"/>
  </cols>
  <sheetData>
    <row r="1" ht="30" customHeight="1">
      <c r="A1" s="1" t="inlineStr">
        <is>
          <t>FARMACIA PULSO VITAL — NIT 1.060.594.021-2</t>
        </is>
      </c>
    </row>
    <row r="2" ht="22" customHeight="1">
      <c r="A2" s="2" t="inlineStr">
        <is>
          <t>ACTA DE RECEPCIÓN N° 002 — Febrero 2026</t>
        </is>
      </c>
    </row>
    <row r="3" ht="6" customHeight="1">
      <c r="A3" s="3" t="inlineStr"/>
    </row>
    <row r="4" ht="28" customHeight="1">
      <c r="A4" s="4" t="inlineStr">
        <is>
          <t>N°</t>
        </is>
      </c>
      <c r="B4" s="4" t="inlineStr">
        <is>
          <t>NOMBRE GENERICO</t>
        </is>
      </c>
      <c r="C4" s="4" t="inlineStr">
        <is>
          <t>NOMBRE COMERCIAL</t>
        </is>
      </c>
      <c r="D4" s="4" t="inlineStr">
        <is>
          <t>FORMA FARMACÉUTICA</t>
        </is>
      </c>
      <c r="E4" s="4" t="inlineStr">
        <is>
          <t>LABORATORIO</t>
        </is>
      </c>
      <c r="F4" s="4" t="inlineStr">
        <is>
          <t>LOTE</t>
        </is>
      </c>
      <c r="G4" s="4" t="inlineStr">
        <is>
          <t>FECHA VENCIMIENTO</t>
        </is>
      </c>
      <c r="H4" s="4" t="inlineStr">
        <is>
          <t>CANTIDAD</t>
        </is>
      </c>
      <c r="I4" s="4" t="inlineStr">
        <is>
          <t>PRECIO UNIT.</t>
        </is>
      </c>
      <c r="J4" s="4" t="inlineStr">
        <is>
          <t>REGISTRO INVIMA</t>
        </is>
      </c>
    </row>
    <row r="5" ht="20" customHeight="1">
      <c r="A5" s="5" t="n">
        <v>1</v>
      </c>
      <c r="B5" s="6" t="inlineStr">
        <is>
          <t>RANITIDINA 150 MG</t>
        </is>
      </c>
      <c r="C5" s="7" t="inlineStr">
        <is>
          <t>Zantac</t>
        </is>
      </c>
      <c r="D5" s="5" t="inlineStr">
        <is>
          <t>Tableta</t>
        </is>
      </c>
      <c r="E5" s="7" t="inlineStr">
        <is>
          <t>Genfar S.A.</t>
        </is>
      </c>
      <c r="F5" s="5" t="inlineStr">
        <is>
          <t>GF2023R1</t>
        </is>
      </c>
      <c r="G5" s="5" t="inlineStr">
        <is>
          <t>03/15/2026</t>
        </is>
      </c>
      <c r="H5" s="5" t="n">
        <v>90</v>
      </c>
      <c r="I5" s="5" t="n">
        <v>1100</v>
      </c>
      <c r="J5" s="5" t="inlineStr">
        <is>
          <t>M-20456-R1</t>
        </is>
      </c>
    </row>
    <row r="6" ht="20" customHeight="1">
      <c r="A6" s="8" t="n">
        <v>2</v>
      </c>
      <c r="B6" s="9" t="inlineStr">
        <is>
          <t>CIPROFLOXACINO 500 MG</t>
        </is>
      </c>
      <c r="C6" s="10" t="inlineStr">
        <is>
          <t>Cipro</t>
        </is>
      </c>
      <c r="D6" s="8" t="inlineStr">
        <is>
          <t>Tableta</t>
        </is>
      </c>
      <c r="E6" s="10" t="inlineStr">
        <is>
          <t>Lafrancol</t>
        </is>
      </c>
      <c r="F6" s="8" t="inlineStr">
        <is>
          <t>LF2025S2</t>
        </is>
      </c>
      <c r="G6" s="8" t="inlineStr">
        <is>
          <t>04/14/2026</t>
        </is>
      </c>
      <c r="H6" s="8" t="n">
        <v>70</v>
      </c>
      <c r="I6" s="8" t="n">
        <v>3100</v>
      </c>
      <c r="J6" s="8" t="inlineStr">
        <is>
          <t>M-22567-R2</t>
        </is>
      </c>
    </row>
    <row r="7" ht="20" customHeight="1">
      <c r="A7" s="11" t="n">
        <v>3</v>
      </c>
      <c r="B7" s="12" t="inlineStr">
        <is>
          <t>PREDNISONA 50 MG</t>
        </is>
      </c>
      <c r="C7" s="13" t="inlineStr">
        <is>
          <t>Deltasone</t>
        </is>
      </c>
      <c r="D7" s="11" t="inlineStr">
        <is>
          <t>Tableta</t>
        </is>
      </c>
      <c r="E7" s="13" t="inlineStr">
        <is>
          <t>Tecnoquímicas</t>
        </is>
      </c>
      <c r="F7" s="11" t="inlineStr">
        <is>
          <t>TQ2025T3</t>
        </is>
      </c>
      <c r="G7" s="11" t="inlineStr">
        <is>
          <t>05/17/2026</t>
        </is>
      </c>
      <c r="H7" s="11" t="n">
        <v>40</v>
      </c>
      <c r="I7" s="11" t="n">
        <v>2800</v>
      </c>
      <c r="J7" s="11" t="inlineStr">
        <is>
          <t>M-18901-R1</t>
        </is>
      </c>
    </row>
    <row r="8" ht="20" customHeight="1">
      <c r="A8" s="14" t="n">
        <v>4</v>
      </c>
      <c r="B8" s="15" t="inlineStr">
        <is>
          <t>LORATADINA 10 MG</t>
        </is>
      </c>
      <c r="C8" s="16" t="inlineStr">
        <is>
          <t>Claritin</t>
        </is>
      </c>
      <c r="D8" s="14" t="inlineStr">
        <is>
          <t>Tableta</t>
        </is>
      </c>
      <c r="E8" s="16" t="inlineStr">
        <is>
          <t>Abbott</t>
        </is>
      </c>
      <c r="F8" s="14" t="inlineStr">
        <is>
          <t>AB2025U4</t>
        </is>
      </c>
      <c r="G8" s="14" t="inlineStr">
        <is>
          <t>06/26/2026</t>
        </is>
      </c>
      <c r="H8" s="14" t="n">
        <v>130</v>
      </c>
      <c r="I8" s="14" t="n">
        <v>750</v>
      </c>
      <c r="J8" s="14" t="inlineStr">
        <is>
          <t>M-19234-R3</t>
        </is>
      </c>
    </row>
    <row r="9" ht="20" customHeight="1">
      <c r="A9" s="14" t="n">
        <v>5</v>
      </c>
      <c r="B9" s="15" t="inlineStr">
        <is>
          <t>METOCLOPRAMIDA 10 MG</t>
        </is>
      </c>
      <c r="C9" s="16" t="inlineStr">
        <is>
          <t>Plasil</t>
        </is>
      </c>
      <c r="D9" s="14" t="inlineStr">
        <is>
          <t>Tableta</t>
        </is>
      </c>
      <c r="E9" s="16" t="inlineStr">
        <is>
          <t>Pfizer</t>
        </is>
      </c>
      <c r="F9" s="14" t="inlineStr">
        <is>
          <t>PF2025V5</t>
        </is>
      </c>
      <c r="G9" s="14" t="inlineStr">
        <is>
          <t>08/10/2026</t>
        </is>
      </c>
      <c r="H9" s="14" t="n">
        <v>80</v>
      </c>
      <c r="I9" s="14" t="n">
        <v>1350</v>
      </c>
      <c r="J9" s="14" t="inlineStr">
        <is>
          <t>M-21012-R2</t>
        </is>
      </c>
    </row>
    <row r="10" ht="20" customHeight="1">
      <c r="A10" s="17" t="n">
        <v>6</v>
      </c>
      <c r="B10" s="18" t="inlineStr">
        <is>
          <t>NIFEDIPINO 30 MG</t>
        </is>
      </c>
      <c r="C10" s="19" t="inlineStr">
        <is>
          <t>Adalat</t>
        </is>
      </c>
      <c r="D10" s="17" t="inlineStr">
        <is>
          <t>Cápsula</t>
        </is>
      </c>
      <c r="E10" s="19" t="inlineStr">
        <is>
          <t>Novartis</t>
        </is>
      </c>
      <c r="F10" s="17" t="inlineStr">
        <is>
          <t>NV2026W6</t>
        </is>
      </c>
      <c r="G10" s="17" t="inlineStr">
        <is>
          <t>10/09/2026</t>
        </is>
      </c>
      <c r="H10" s="17" t="n">
        <v>55</v>
      </c>
      <c r="I10" s="17" t="n">
        <v>5200</v>
      </c>
      <c r="J10" s="17" t="inlineStr">
        <is>
          <t>M-17456-R1</t>
        </is>
      </c>
    </row>
    <row r="11" ht="20" customHeight="1">
      <c r="A11" s="17" t="n">
        <v>7</v>
      </c>
      <c r="B11" s="18" t="inlineStr">
        <is>
          <t>TRAMADOL 50 MG</t>
        </is>
      </c>
      <c r="C11" s="19" t="inlineStr">
        <is>
          <t>Tramal</t>
        </is>
      </c>
      <c r="D11" s="17" t="inlineStr">
        <is>
          <t>Cápsula</t>
        </is>
      </c>
      <c r="E11" s="19" t="inlineStr">
        <is>
          <t>Genfar S.A.</t>
        </is>
      </c>
      <c r="F11" s="17" t="inlineStr">
        <is>
          <t>GF2026X7</t>
        </is>
      </c>
      <c r="G11" s="17" t="inlineStr">
        <is>
          <t>01/02/2027</t>
        </is>
      </c>
      <c r="H11" s="17" t="n">
        <v>30</v>
      </c>
      <c r="I11" s="17" t="n">
        <v>3600</v>
      </c>
      <c r="J11" s="17" t="inlineStr">
        <is>
          <t>M-20678-R2</t>
        </is>
      </c>
    </row>
    <row r="12" ht="20" customHeight="1">
      <c r="A12" s="17" t="n">
        <v>8</v>
      </c>
      <c r="B12" s="18" t="inlineStr">
        <is>
          <t>DEXAMETASONA 4MG/2ML</t>
        </is>
      </c>
      <c r="C12" s="19" t="inlineStr">
        <is>
          <t>Decadron</t>
        </is>
      </c>
      <c r="D12" s="17" t="inlineStr">
        <is>
          <t>Inyectable</t>
        </is>
      </c>
      <c r="E12" s="19" t="inlineStr">
        <is>
          <t>Lafrancol</t>
        </is>
      </c>
      <c r="F12" s="17" t="inlineStr">
        <is>
          <t>LF2026Y8</t>
        </is>
      </c>
      <c r="G12" s="17" t="inlineStr">
        <is>
          <t>03/23/2027</t>
        </is>
      </c>
      <c r="H12" s="17" t="n">
        <v>25</v>
      </c>
      <c r="I12" s="17" t="n">
        <v>8500</v>
      </c>
      <c r="J12" s="17" t="inlineStr">
        <is>
          <t>M-22890-R1</t>
        </is>
      </c>
    </row>
    <row r="13" ht="20" customHeight="1">
      <c r="A13" s="17" t="n">
        <v>9</v>
      </c>
      <c r="B13" s="18" t="inlineStr">
        <is>
          <t>LEVOTIROXINA 100 MCG</t>
        </is>
      </c>
      <c r="C13" s="19" t="inlineStr">
        <is>
          <t>Synthroid</t>
        </is>
      </c>
      <c r="D13" s="17" t="inlineStr">
        <is>
          <t>Tableta</t>
        </is>
      </c>
      <c r="E13" s="19" t="inlineStr">
        <is>
          <t>Merck</t>
        </is>
      </c>
      <c r="F13" s="17" t="inlineStr">
        <is>
          <t>MK2027Z9</t>
        </is>
      </c>
      <c r="G13" s="17" t="inlineStr">
        <is>
          <t>07/16/2027</t>
        </is>
      </c>
      <c r="H13" s="17" t="n">
        <v>60</v>
      </c>
      <c r="I13" s="17" t="n">
        <v>4800</v>
      </c>
      <c r="J13" s="17" t="inlineStr">
        <is>
          <t>M-23123-R3</t>
        </is>
      </c>
    </row>
    <row r="14" ht="20" customHeight="1">
      <c r="A14" s="17" t="n">
        <v>10</v>
      </c>
      <c r="B14" s="18" t="inlineStr">
        <is>
          <t>VITAMINA D3 1000UI</t>
        </is>
      </c>
      <c r="C14" s="19" t="inlineStr">
        <is>
          <t>VitaDen</t>
        </is>
      </c>
      <c r="D14" s="17" t="inlineStr">
        <is>
          <t>Cápsula</t>
        </is>
      </c>
      <c r="E14" s="19" t="inlineStr">
        <is>
          <t>Tecnoquímicas</t>
        </is>
      </c>
      <c r="F14" s="17" t="inlineStr">
        <is>
          <t>TQ2027A0</t>
        </is>
      </c>
      <c r="G14" s="17" t="inlineStr">
        <is>
          <t>10/04/2027</t>
        </is>
      </c>
      <c r="H14" s="17" t="n">
        <v>100</v>
      </c>
      <c r="I14" s="17" t="n">
        <v>2200</v>
      </c>
      <c r="J14" s="17" t="inlineStr">
        <is>
          <t>M-18345-R2</t>
        </is>
      </c>
    </row>
    <row r="15" ht="20" customHeight="1">
      <c r="A15" s="17" t="n">
        <v>11</v>
      </c>
      <c r="B15" s="18" t="inlineStr">
        <is>
          <t>KETOROLACO 30MG/ML</t>
        </is>
      </c>
      <c r="C15" s="19" t="inlineStr">
        <is>
          <t>Toradol</t>
        </is>
      </c>
      <c r="D15" s="17" t="inlineStr">
        <is>
          <t>Inyectable</t>
        </is>
      </c>
      <c r="E15" s="19" t="inlineStr">
        <is>
          <t>Abbott</t>
        </is>
      </c>
      <c r="F15" s="17" t="inlineStr">
        <is>
          <t>AB2028B1</t>
        </is>
      </c>
      <c r="G15" s="17" t="inlineStr">
        <is>
          <t>12/23/2027</t>
        </is>
      </c>
      <c r="H15" s="17" t="n">
        <v>20</v>
      </c>
      <c r="I15" s="17" t="n">
        <v>12000</v>
      </c>
      <c r="J15" s="17" t="inlineStr">
        <is>
          <t>M-19567-R1</t>
        </is>
      </c>
    </row>
    <row r="16" ht="20" customHeight="1">
      <c r="A16" s="17" t="n">
        <v>12</v>
      </c>
      <c r="B16" s="18" t="inlineStr">
        <is>
          <t>ESPIRONOLACTONA 25 MG</t>
        </is>
      </c>
      <c r="C16" s="19" t="inlineStr">
        <is>
          <t>Aldactone</t>
        </is>
      </c>
      <c r="D16" s="17" t="inlineStr">
        <is>
          <t>Tableta</t>
        </is>
      </c>
      <c r="E16" s="19" t="inlineStr">
        <is>
          <t>Pfizer</t>
        </is>
      </c>
      <c r="F16" s="17" t="inlineStr">
        <is>
          <t>PF2028C2</t>
        </is>
      </c>
      <c r="G16" s="17" t="inlineStr">
        <is>
          <t>03/12/2028</t>
        </is>
      </c>
      <c r="H16" s="17" t="n">
        <v>45</v>
      </c>
      <c r="I16" s="17" t="n">
        <v>3900</v>
      </c>
      <c r="J16" s="17" t="inlineStr">
        <is>
          <t>M-21234-R3</t>
        </is>
      </c>
    </row>
    <row r="17">
      <c r="A17" s="20" t="inlineStr">
        <is>
          <t>TOTAL — 12 ítems en acta</t>
        </is>
      </c>
      <c r="H17" s="2">
        <f>SUM(H5:H16)</f>
        <v/>
      </c>
      <c r="I17" s="2">
        <f>SUM(I5:I16)</f>
        <v/>
      </c>
    </row>
  </sheetData>
  <mergeCells count="4">
    <mergeCell ref="A1:J1"/>
    <mergeCell ref="A17:F17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22" customWidth="1" min="5" max="5"/>
    <col width="14" customWidth="1" min="6" max="6"/>
    <col width="17" customWidth="1" min="7" max="7"/>
    <col width="11" customWidth="1" min="8" max="8"/>
    <col width="13" customWidth="1" min="9" max="9"/>
    <col width="18" customWidth="1" min="10" max="10"/>
  </cols>
  <sheetData>
    <row r="1" ht="30" customHeight="1">
      <c r="A1" s="1" t="inlineStr">
        <is>
          <t>FARMACIA PULSO VITAL — NIT 1.060.594.021-2</t>
        </is>
      </c>
    </row>
    <row r="2" ht="22" customHeight="1">
      <c r="A2" s="2" t="inlineStr">
        <is>
          <t>ACTA DE RECEPCIÓN N° 003 — Marzo 2025</t>
        </is>
      </c>
    </row>
    <row r="3" ht="6" customHeight="1">
      <c r="A3" s="3" t="inlineStr"/>
    </row>
    <row r="4" ht="28" customHeight="1">
      <c r="A4" s="4" t="inlineStr">
        <is>
          <t>N°</t>
        </is>
      </c>
      <c r="B4" s="4" t="inlineStr">
        <is>
          <t>NOMBRE GENERICO</t>
        </is>
      </c>
      <c r="C4" s="4" t="inlineStr">
        <is>
          <t>NOMBRE COMERCIAL</t>
        </is>
      </c>
      <c r="D4" s="4" t="inlineStr">
        <is>
          <t>FORMA FARMACÉUTICA</t>
        </is>
      </c>
      <c r="E4" s="4" t="inlineStr">
        <is>
          <t>LABORATORIO</t>
        </is>
      </c>
      <c r="F4" s="4" t="inlineStr">
        <is>
          <t>LOTE</t>
        </is>
      </c>
      <c r="G4" s="4" t="inlineStr">
        <is>
          <t>FECHA VENCIMIENTO</t>
        </is>
      </c>
      <c r="H4" s="4" t="inlineStr">
        <is>
          <t>CANTIDAD</t>
        </is>
      </c>
      <c r="I4" s="4" t="inlineStr">
        <is>
          <t>PRECIO UNIT.</t>
        </is>
      </c>
      <c r="J4" s="4" t="inlineStr">
        <is>
          <t>REGISTRO INVIMA</t>
        </is>
      </c>
    </row>
    <row r="5" ht="20" customHeight="1">
      <c r="A5" s="5" t="n">
        <v>1</v>
      </c>
      <c r="B5" s="6" t="inlineStr">
        <is>
          <t>PANTOPRAZOL 40 MG</t>
        </is>
      </c>
      <c r="C5" s="7" t="inlineStr">
        <is>
          <t>Protonix</t>
        </is>
      </c>
      <c r="D5" s="5" t="inlineStr">
        <is>
          <t>Tableta</t>
        </is>
      </c>
      <c r="E5" s="7" t="inlineStr">
        <is>
          <t>Novartis</t>
        </is>
      </c>
      <c r="F5" s="5" t="inlineStr">
        <is>
          <t>NV2024P1</t>
        </is>
      </c>
      <c r="G5" s="5" t="inlineStr">
        <is>
          <t>12/23/2025</t>
        </is>
      </c>
      <c r="H5" s="5" t="n">
        <v>110</v>
      </c>
      <c r="I5" s="5" t="n">
        <v>2900</v>
      </c>
      <c r="J5" s="5" t="inlineStr">
        <is>
          <t>M-17890-R2</t>
        </is>
      </c>
    </row>
    <row r="6" ht="20" customHeight="1">
      <c r="A6" s="5" t="n">
        <v>2</v>
      </c>
      <c r="B6" s="6" t="inlineStr">
        <is>
          <t>SIMVASTATINA 20 MG</t>
        </is>
      </c>
      <c r="C6" s="7" t="inlineStr">
        <is>
          <t>Zocor</t>
        </is>
      </c>
      <c r="D6" s="5" t="inlineStr">
        <is>
          <t>Tableta</t>
        </is>
      </c>
      <c r="E6" s="7" t="inlineStr">
        <is>
          <t>Genfar S.A.</t>
        </is>
      </c>
      <c r="F6" s="5" t="inlineStr">
        <is>
          <t>GF2024Q2</t>
        </is>
      </c>
      <c r="G6" s="5" t="inlineStr">
        <is>
          <t>03/18/2026</t>
        </is>
      </c>
      <c r="H6" s="5" t="n">
        <v>75</v>
      </c>
      <c r="I6" s="5" t="n">
        <v>2100</v>
      </c>
      <c r="J6" s="5" t="inlineStr">
        <is>
          <t>M-20123-R1</t>
        </is>
      </c>
    </row>
    <row r="7" ht="20" customHeight="1">
      <c r="A7" s="8" t="n">
        <v>3</v>
      </c>
      <c r="B7" s="9" t="inlineStr">
        <is>
          <t>ALPRAZOLAM 0.25 MG</t>
        </is>
      </c>
      <c r="C7" s="10" t="inlineStr">
        <is>
          <t>Xanax</t>
        </is>
      </c>
      <c r="D7" s="8" t="inlineStr">
        <is>
          <t>Tableta</t>
        </is>
      </c>
      <c r="E7" s="10" t="inlineStr">
        <is>
          <t>Roche</t>
        </is>
      </c>
      <c r="F7" s="8" t="inlineStr">
        <is>
          <t>RC2025R3</t>
        </is>
      </c>
      <c r="G7" s="8" t="inlineStr">
        <is>
          <t>04/02/2026</t>
        </is>
      </c>
      <c r="H7" s="8" t="n">
        <v>40</v>
      </c>
      <c r="I7" s="8" t="n">
        <v>4100</v>
      </c>
      <c r="J7" s="8" t="inlineStr">
        <is>
          <t>M-16789-R3</t>
        </is>
      </c>
    </row>
    <row r="8" ht="20" customHeight="1">
      <c r="A8" s="11" t="n">
        <v>4</v>
      </c>
      <c r="B8" s="12" t="inlineStr">
        <is>
          <t>GLIBENCLAMIDA 5 MG</t>
        </is>
      </c>
      <c r="C8" s="13" t="inlineStr">
        <is>
          <t>Daonil</t>
        </is>
      </c>
      <c r="D8" s="11" t="inlineStr">
        <is>
          <t>Tableta</t>
        </is>
      </c>
      <c r="E8" s="13" t="inlineStr">
        <is>
          <t>Tecnoquímicas</t>
        </is>
      </c>
      <c r="F8" s="11" t="inlineStr">
        <is>
          <t>TQ2025S4</t>
        </is>
      </c>
      <c r="G8" s="11" t="inlineStr">
        <is>
          <t>04/30/2026</t>
        </is>
      </c>
      <c r="H8" s="11" t="n">
        <v>60</v>
      </c>
      <c r="I8" s="11" t="n">
        <v>1750</v>
      </c>
      <c r="J8" s="11" t="inlineStr">
        <is>
          <t>M-18678-R1</t>
        </is>
      </c>
    </row>
    <row r="9" ht="20" customHeight="1">
      <c r="A9" s="11" t="n">
        <v>5</v>
      </c>
      <c r="B9" s="12" t="inlineStr">
        <is>
          <t>CARVEDILOL 6.25 MG</t>
        </is>
      </c>
      <c r="C9" s="13" t="inlineStr">
        <is>
          <t>Coreg</t>
        </is>
      </c>
      <c r="D9" s="11" t="inlineStr">
        <is>
          <t>Tableta</t>
        </is>
      </c>
      <c r="E9" s="13" t="inlineStr">
        <is>
          <t>Abbott</t>
        </is>
      </c>
      <c r="F9" s="11" t="inlineStr">
        <is>
          <t>AB2025T5</t>
        </is>
      </c>
      <c r="G9" s="11" t="inlineStr">
        <is>
          <t>06/09/2026</t>
        </is>
      </c>
      <c r="H9" s="11" t="n">
        <v>50</v>
      </c>
      <c r="I9" s="11" t="n">
        <v>3300</v>
      </c>
      <c r="J9" s="11" t="inlineStr">
        <is>
          <t>M-19901-R2</t>
        </is>
      </c>
    </row>
    <row r="10" ht="20" customHeight="1">
      <c r="A10" s="14" t="n">
        <v>6</v>
      </c>
      <c r="B10" s="15" t="inlineStr">
        <is>
          <t>FENOBARBITAL 100 MG</t>
        </is>
      </c>
      <c r="C10" s="16" t="inlineStr">
        <is>
          <t>Luminal</t>
        </is>
      </c>
      <c r="D10" s="14" t="inlineStr">
        <is>
          <t>Tableta</t>
        </is>
      </c>
      <c r="E10" s="16" t="inlineStr">
        <is>
          <t>Pfizer</t>
        </is>
      </c>
      <c r="F10" s="14" t="inlineStr">
        <is>
          <t>PF2026U6</t>
        </is>
      </c>
      <c r="G10" s="14" t="inlineStr">
        <is>
          <t>08/30/2026</t>
        </is>
      </c>
      <c r="H10" s="14" t="n">
        <v>35</v>
      </c>
      <c r="I10" s="14" t="n">
        <v>2700</v>
      </c>
      <c r="J10" s="14" t="inlineStr">
        <is>
          <t>M-21345-R1</t>
        </is>
      </c>
    </row>
    <row r="11" ht="20" customHeight="1">
      <c r="A11" s="17" t="n">
        <v>7</v>
      </c>
      <c r="B11" s="18" t="inlineStr">
        <is>
          <t>BECLOMETASONA 250MCG</t>
        </is>
      </c>
      <c r="C11" s="19" t="inlineStr">
        <is>
          <t>Beclovent</t>
        </is>
      </c>
      <c r="D11" s="17" t="inlineStr">
        <is>
          <t>Inhalador</t>
        </is>
      </c>
      <c r="E11" s="19" t="inlineStr">
        <is>
          <t>GlaxoSmithKline</t>
        </is>
      </c>
      <c r="F11" s="17" t="inlineStr">
        <is>
          <t>GK2026V7</t>
        </is>
      </c>
      <c r="G11" s="17" t="inlineStr">
        <is>
          <t>12/08/2026</t>
        </is>
      </c>
      <c r="H11" s="17" t="n">
        <v>20</v>
      </c>
      <c r="I11" s="17" t="n">
        <v>45000</v>
      </c>
      <c r="J11" s="17" t="inlineStr">
        <is>
          <t>M-25901-R2</t>
        </is>
      </c>
    </row>
    <row r="12" ht="20" customHeight="1">
      <c r="A12" s="17" t="n">
        <v>8</v>
      </c>
      <c r="B12" s="18" t="inlineStr">
        <is>
          <t>ENALAPRIL 10 MG</t>
        </is>
      </c>
      <c r="C12" s="19" t="inlineStr">
        <is>
          <t>Vasotec</t>
        </is>
      </c>
      <c r="D12" s="17" t="inlineStr">
        <is>
          <t>Tableta</t>
        </is>
      </c>
      <c r="E12" s="19" t="inlineStr">
        <is>
          <t>Novartis</t>
        </is>
      </c>
      <c r="F12" s="17" t="inlineStr">
        <is>
          <t>NV2027W8</t>
        </is>
      </c>
      <c r="G12" s="17" t="inlineStr">
        <is>
          <t>04/07/2027</t>
        </is>
      </c>
      <c r="H12" s="17" t="n">
        <v>90</v>
      </c>
      <c r="I12" s="17" t="n">
        <v>1900</v>
      </c>
      <c r="J12" s="17" t="inlineStr">
        <is>
          <t>M-17567-R1</t>
        </is>
      </c>
    </row>
    <row r="13" ht="20" customHeight="1">
      <c r="A13" s="17" t="n">
        <v>9</v>
      </c>
      <c r="B13" s="18" t="inlineStr">
        <is>
          <t>DIGOXINA 0.25 MG</t>
        </is>
      </c>
      <c r="C13" s="19" t="inlineStr">
        <is>
          <t>Lanoxin</t>
        </is>
      </c>
      <c r="D13" s="17" t="inlineStr">
        <is>
          <t>Tableta</t>
        </is>
      </c>
      <c r="E13" s="19" t="inlineStr">
        <is>
          <t>Genfar S.A.</t>
        </is>
      </c>
      <c r="F13" s="17" t="inlineStr">
        <is>
          <t>GF2027X9</t>
        </is>
      </c>
      <c r="G13" s="17" t="inlineStr">
        <is>
          <t>07/06/2027</t>
        </is>
      </c>
      <c r="H13" s="17" t="n">
        <v>30</v>
      </c>
      <c r="I13" s="17" t="n">
        <v>3400</v>
      </c>
      <c r="J13" s="17" t="inlineStr">
        <is>
          <t>M-20456-R3</t>
        </is>
      </c>
    </row>
    <row r="14" ht="20" customHeight="1">
      <c r="A14" s="17" t="n">
        <v>10</v>
      </c>
      <c r="B14" s="18" t="inlineStr">
        <is>
          <t>WARFARINA 5 MG</t>
        </is>
      </c>
      <c r="C14" s="19" t="inlineStr">
        <is>
          <t>Coumadin</t>
        </is>
      </c>
      <c r="D14" s="17" t="inlineStr">
        <is>
          <t>Tableta</t>
        </is>
      </c>
      <c r="E14" s="19" t="inlineStr">
        <is>
          <t>Lafrancol</t>
        </is>
      </c>
      <c r="F14" s="17" t="inlineStr">
        <is>
          <t>LF2028Y0</t>
        </is>
      </c>
      <c r="G14" s="17" t="inlineStr">
        <is>
          <t>11/03/2027</t>
        </is>
      </c>
      <c r="H14" s="17" t="n">
        <v>45</v>
      </c>
      <c r="I14" s="17" t="n">
        <v>2600</v>
      </c>
      <c r="J14" s="17" t="inlineStr">
        <is>
          <t>M-22234-R2</t>
        </is>
      </c>
    </row>
    <row r="15">
      <c r="A15" s="20" t="inlineStr">
        <is>
          <t>TOTAL — 10 ítems en acta</t>
        </is>
      </c>
      <c r="H15" s="2">
        <f>SUM(H5:H14)</f>
        <v/>
      </c>
      <c r="I15" s="2">
        <f>SUM(I5:I14)</f>
        <v/>
      </c>
    </row>
  </sheetData>
  <mergeCells count="4">
    <mergeCell ref="A1:J1"/>
    <mergeCell ref="A15:F15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2026-03-23T22:56:03Z</dcterms:created>
  <dcterms:modified xmlns:dcterms="http://purl.org/dc/terms/" xmlns:xsi="http://www.w3.org/2001/XMLSchema-instance" xsi:type="dcterms:W3CDTF">2026-03-23T22:56:03Z</dcterms:modified>
</cp:coreProperties>
</file>